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大学\igem\esp32-medication-device\hardware\pcb\"/>
    </mc:Choice>
  </mc:AlternateContent>
  <xr:revisionPtr revIDLastSave="0" documentId="13_ncr:1_{C280023E-25CD-4C11-BE8C-E5A054DE2538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I2" i="1"/>
  <c r="J2" i="1"/>
  <c r="I10" i="1"/>
  <c r="I9" i="1"/>
  <c r="I8" i="1"/>
  <c r="I7" i="1"/>
  <c r="I6" i="1"/>
  <c r="I5" i="1"/>
  <c r="I4" i="1"/>
  <c r="I3" i="1"/>
  <c r="I11" i="1" l="1"/>
</calcChain>
</file>

<file path=xl/sharedStrings.xml><?xml version="1.0" encoding="utf-8"?>
<sst xmlns="http://schemas.openxmlformats.org/spreadsheetml/2006/main" count="76" uniqueCount="58">
  <si>
    <t>No.</t>
  </si>
  <si>
    <t>Quantity</t>
  </si>
  <si>
    <t>Comment</t>
  </si>
  <si>
    <t>Designator</t>
  </si>
  <si>
    <t>Value</t>
  </si>
  <si>
    <t>Manufacturer Part</t>
  </si>
  <si>
    <t>Manufacturer</t>
  </si>
  <si>
    <t>LCSC Price</t>
  </si>
  <si>
    <t>100nF</t>
  </si>
  <si>
    <t>C1</t>
  </si>
  <si>
    <t>MPE104J100V82CL0044</t>
  </si>
  <si>
    <t>KNSCHA(科尼盛)</t>
  </si>
  <si>
    <t>1uF</t>
  </si>
  <si>
    <t>C2</t>
  </si>
  <si>
    <t>RST50V1M4X5</t>
  </si>
  <si>
    <t>JIERR(捷而瑞)</t>
  </si>
  <si>
    <t>22uF</t>
  </si>
  <si>
    <t>C3</t>
  </si>
  <si>
    <t>JVJ16V22M4X5</t>
  </si>
  <si>
    <t>10kΩ</t>
  </si>
  <si>
    <t>R1</t>
  </si>
  <si>
    <t>FRC0402F1002TS</t>
  </si>
  <si>
    <t>FOJAN(富捷)</t>
  </si>
  <si>
    <t>TPS22919DCKR</t>
  </si>
  <si>
    <t>U1</t>
  </si>
  <si>
    <t>——</t>
  </si>
  <si>
    <t>TI(德州仪器)</t>
  </si>
  <si>
    <t>16-108K SDD20032</t>
  </si>
  <si>
    <t>SAIDAPIEZO(赛达压电)</t>
  </si>
  <si>
    <t>18650 可充电锂电池</t>
  </si>
  <si>
    <t>5 V / 2000 mAh</t>
  </si>
  <si>
    <t>按键开关</t>
  </si>
  <si>
    <t>16-108K SDD20034</t>
  </si>
  <si>
    <t>定制pcb</t>
  </si>
  <si>
    <t xml:space="preserve"> JLC Technology  (嘉立创)</t>
  </si>
  <si>
    <t>Project Title</t>
  </si>
  <si>
    <t>igem2026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</si>
  <si>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</si>
  <si>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</si>
  <si>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</si>
  <si>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</si>
  <si>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</si>
  <si>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</si>
  <si>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</si>
  <si>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 xml:space="preserve"> </t>
  </si>
  <si>
    <t>Total Quantity</t>
  </si>
  <si>
    <t>Report Time</t>
  </si>
  <si>
    <t>10:1:29</t>
  </si>
  <si>
    <t>Report Date</t>
  </si>
  <si>
    <t>2026年10月3日</t>
  </si>
  <si>
    <t>Report Date&amp;Time</t>
  </si>
  <si>
    <t>2026年10月3日 10:1:29</t>
  </si>
  <si>
    <t>File Name</t>
  </si>
  <si>
    <t>BOM_Board1_Schematic1_2026-10-03</t>
  </si>
  <si>
    <t>Filter Option</t>
  </si>
  <si>
    <t xml:space="preserve">Add into BOM:no; </t>
  </si>
  <si>
    <t>Total(CNY)</t>
    <phoneticPr fontId="3" type="noConversion"/>
  </si>
  <si>
    <t>Total(USD)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</si>
</sst>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_ &quot;￥&quot;* #,##0.00_ ;_ &quot;￥&quot;* \-#,##0.00_ ;_ &quot;￥&quot;* &quot;-&quot;??_ ;_ @_ "/>
    <numFmt numFmtId="178" formatCode="\¥#,##0.00;\¥\-#,##0.00"/>
    <numFmt numFmtId="182" formatCode="\$#,##0.0000_);[Red]\(\$#,##0.0000\)"/>
    <numFmt numFmtId="183" formatCode="&quot;¥&quot;#,##0.0000_);[Red]\(&quot;¥&quot;#,##0.000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等线"/>
    </font>
    <font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7" fontId="2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82" fontId="1" fillId="3" borderId="1" xfId="0" applyNumberFormat="1" applyFont="1" applyFill="1" applyBorder="1" applyAlignment="1">
      <alignment horizontal="center"/>
    </xf>
    <xf numFmtId="183" fontId="1" fillId="3" borderId="1" xfId="0" applyNumberFormat="1" applyFont="1" applyFill="1" applyBorder="1" applyAlignment="1">
      <alignment horizontal="center"/>
    </xf>
    <xf numFmtId="183" fontId="1" fillId="0" borderId="1" xfId="0" applyNumberFormat="1" applyFont="1" applyBorder="1" applyAlignment="1">
      <alignment horizontal="center"/>
    </xf>
    <xf numFmtId="182" fontId="5" fillId="4" borderId="1" xfId="0" applyNumberFormat="1" applyFont="1" applyFill="1" applyBorder="1" applyAlignment="1">
      <alignment horizontal="center"/>
    </xf>
    <xf numFmtId="183" fontId="1" fillId="3" borderId="1" xfId="1" applyNumberFormat="1" applyFont="1" applyFill="1" applyBorder="1" applyAlignment="1">
      <alignment horizont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showGridLines="0" tabSelected="1" workbookViewId="0">
      <selection activeCell="L12" sqref="L12"/>
    </sheetView>
  </sheetViews>
  <sheetFormatPr defaultColWidth="9" defaultRowHeight="14.25" customHeight="1" x14ac:dyDescent="0.3"/>
  <cols>
    <col min="1" max="1" width="4.69140625" customWidth="1"/>
    <col min="2" max="2" width="8.921875" customWidth="1"/>
    <col min="3" max="3" width="20" customWidth="1"/>
    <col min="4" max="4" width="11.15234375" customWidth="1"/>
    <col min="5" max="5" width="16" customWidth="1"/>
    <col min="6" max="6" width="24.15234375" customWidth="1"/>
    <col min="7" max="7" width="25.61328125" customWidth="1"/>
    <col min="8" max="8" width="10.23046875" customWidth="1"/>
    <col min="9" max="9" width="10.53515625" bestFit="1" customWidth="1"/>
    <col min="10" max="10" width="10.4609375" bestFit="1" customWidth="1"/>
  </cols>
  <sheetData>
    <row r="1" spans="1:10" ht="14.25" customHeight="1" x14ac:dyDescent="0.3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56</v>
      </c>
      <c r="J1" s="9" t="s">
        <v>57</v>
      </c>
    </row>
    <row r="2" spans="1:10" ht="14.25" customHeight="1" x14ac:dyDescent="0.35">
      <c r="A2" s="5">
        <v>1</v>
      </c>
      <c r="B2" s="6">
        <v>1</v>
      </c>
      <c r="C2" s="6" t="s">
        <v>8</v>
      </c>
      <c r="D2" s="6" t="s">
        <v>9</v>
      </c>
      <c r="E2" s="6" t="s">
        <v>8</v>
      </c>
      <c r="F2" s="6" t="s">
        <v>10</v>
      </c>
      <c r="G2" s="6" t="s">
        <v>11</v>
      </c>
      <c r="H2" s="14">
        <v>0.27900000000000003</v>
      </c>
      <c r="I2" s="11">
        <f t="shared" ref="I2:J7" si="0">B2*H2</f>
        <v>0.27900000000000003</v>
      </c>
      <c r="J2" s="10">
        <f>I2/6.7351</f>
        <v>4.1424774687829437E-2</v>
      </c>
    </row>
    <row r="3" spans="1:10" ht="14.25" customHeight="1" x14ac:dyDescent="0.35">
      <c r="A3" s="5">
        <v>2</v>
      </c>
      <c r="B3" s="6">
        <v>1</v>
      </c>
      <c r="C3" s="6" t="s">
        <v>12</v>
      </c>
      <c r="D3" s="6" t="s">
        <v>13</v>
      </c>
      <c r="E3" s="6" t="s">
        <v>12</v>
      </c>
      <c r="F3" s="6" t="s">
        <v>14</v>
      </c>
      <c r="G3" s="6" t="s">
        <v>15</v>
      </c>
      <c r="H3" s="14">
        <v>0.214</v>
      </c>
      <c r="I3" s="11">
        <f t="shared" si="0"/>
        <v>0.214</v>
      </c>
      <c r="J3" s="10">
        <f t="shared" ref="J3:J11" si="1">I3/6.7351</f>
        <v>3.1773841516829743E-2</v>
      </c>
    </row>
    <row r="4" spans="1:10" ht="14.25" customHeight="1" x14ac:dyDescent="0.35">
      <c r="A4" s="5">
        <v>3</v>
      </c>
      <c r="B4" s="6">
        <v>1</v>
      </c>
      <c r="C4" s="6" t="s">
        <v>16</v>
      </c>
      <c r="D4" s="6" t="s">
        <v>17</v>
      </c>
      <c r="E4" s="6" t="s">
        <v>16</v>
      </c>
      <c r="F4" s="6" t="s">
        <v>18</v>
      </c>
      <c r="G4" s="6" t="s">
        <v>15</v>
      </c>
      <c r="H4" s="14">
        <v>0.25540000000000002</v>
      </c>
      <c r="I4" s="11">
        <f t="shared" si="0"/>
        <v>0.25540000000000002</v>
      </c>
      <c r="J4" s="10">
        <f t="shared" si="1"/>
        <v>3.7920743567281853E-2</v>
      </c>
    </row>
    <row r="5" spans="1:10" ht="14.25" customHeight="1" x14ac:dyDescent="0.35">
      <c r="A5" s="5">
        <v>4</v>
      </c>
      <c r="B5" s="6">
        <v>1</v>
      </c>
      <c r="C5" s="6" t="s">
        <v>19</v>
      </c>
      <c r="D5" s="6" t="s">
        <v>20</v>
      </c>
      <c r="E5" s="6" t="s">
        <v>19</v>
      </c>
      <c r="F5" s="6" t="s">
        <v>21</v>
      </c>
      <c r="G5" s="6" t="s">
        <v>22</v>
      </c>
      <c r="H5" s="14">
        <v>1.5100000000000001E-2</v>
      </c>
      <c r="I5" s="11">
        <f t="shared" si="0"/>
        <v>1.5100000000000001E-2</v>
      </c>
      <c r="J5" s="10">
        <f t="shared" si="1"/>
        <v>2.2419860135706967E-3</v>
      </c>
    </row>
    <row r="6" spans="1:10" ht="14.25" customHeight="1" x14ac:dyDescent="0.35">
      <c r="A6" s="5">
        <v>5</v>
      </c>
      <c r="B6" s="6">
        <v>1</v>
      </c>
      <c r="C6" s="6" t="s">
        <v>23</v>
      </c>
      <c r="D6" s="6" t="s">
        <v>24</v>
      </c>
      <c r="E6" s="6" t="s">
        <v>25</v>
      </c>
      <c r="F6" s="6" t="s">
        <v>23</v>
      </c>
      <c r="G6" s="6" t="s">
        <v>26</v>
      </c>
      <c r="H6" s="14">
        <v>0.76870000000000005</v>
      </c>
      <c r="I6" s="11">
        <f t="shared" si="0"/>
        <v>0.76870000000000005</v>
      </c>
      <c r="J6" s="10">
        <f t="shared" si="1"/>
        <v>0.11413342043919171</v>
      </c>
    </row>
    <row r="7" spans="1:10" ht="14.25" customHeight="1" x14ac:dyDescent="0.35">
      <c r="A7" s="5">
        <v>6</v>
      </c>
      <c r="B7" s="6">
        <v>1</v>
      </c>
      <c r="C7" s="6" t="s">
        <v>27</v>
      </c>
      <c r="D7" s="6" t="s">
        <v>25</v>
      </c>
      <c r="E7" s="6" t="s">
        <v>25</v>
      </c>
      <c r="F7" s="6" t="s">
        <v>27</v>
      </c>
      <c r="G7" s="6" t="s">
        <v>28</v>
      </c>
      <c r="H7" s="14">
        <v>46</v>
      </c>
      <c r="I7" s="11">
        <f t="shared" si="0"/>
        <v>46</v>
      </c>
      <c r="J7" s="10">
        <f t="shared" si="1"/>
        <v>6.8298911671690101</v>
      </c>
    </row>
    <row r="8" spans="1:10" ht="14.25" customHeight="1" x14ac:dyDescent="0.35">
      <c r="A8" s="5">
        <v>7</v>
      </c>
      <c r="B8" s="6">
        <v>1</v>
      </c>
      <c r="C8" s="6" t="s">
        <v>29</v>
      </c>
      <c r="D8" s="6" t="s">
        <v>25</v>
      </c>
      <c r="E8" s="6" t="s">
        <v>30</v>
      </c>
      <c r="F8" s="6" t="s">
        <v>25</v>
      </c>
      <c r="G8" s="6" t="s">
        <v>25</v>
      </c>
      <c r="H8" s="14">
        <v>20</v>
      </c>
      <c r="I8" s="11">
        <f t="shared" ref="I8:J10" si="2">B8*H8</f>
        <v>20</v>
      </c>
      <c r="J8" s="10">
        <f t="shared" si="1"/>
        <v>2.9695178987691349</v>
      </c>
    </row>
    <row r="9" spans="1:10" ht="14.25" customHeight="1" x14ac:dyDescent="0.35">
      <c r="A9" s="5">
        <v>8</v>
      </c>
      <c r="B9" s="6">
        <v>1</v>
      </c>
      <c r="C9" s="6" t="s">
        <v>31</v>
      </c>
      <c r="D9" s="6" t="s">
        <v>25</v>
      </c>
      <c r="E9" s="6" t="s">
        <v>25</v>
      </c>
      <c r="F9" s="6" t="s">
        <v>32</v>
      </c>
      <c r="G9" s="6" t="s">
        <v>28</v>
      </c>
      <c r="H9" s="14">
        <v>3.25</v>
      </c>
      <c r="I9" s="11">
        <f t="shared" si="2"/>
        <v>3.25</v>
      </c>
      <c r="J9" s="10">
        <f t="shared" si="1"/>
        <v>0.48254665854998441</v>
      </c>
    </row>
    <row r="10" spans="1:10" ht="14.25" customHeight="1" x14ac:dyDescent="0.35">
      <c r="A10" s="5">
        <v>9</v>
      </c>
      <c r="B10" s="6">
        <v>1</v>
      </c>
      <c r="C10" s="6" t="s">
        <v>33</v>
      </c>
      <c r="D10" s="6" t="s">
        <v>25</v>
      </c>
      <c r="E10" s="6" t="s">
        <v>25</v>
      </c>
      <c r="F10" s="6" t="s">
        <v>25</v>
      </c>
      <c r="G10" s="6" t="s">
        <v>34</v>
      </c>
      <c r="H10" s="14">
        <v>3.2</v>
      </c>
      <c r="I10" s="11">
        <f t="shared" si="2"/>
        <v>3.2</v>
      </c>
      <c r="J10" s="10">
        <f t="shared" si="1"/>
        <v>0.47512286380306157</v>
      </c>
    </row>
    <row r="11" spans="1:10" ht="14.25" customHeight="1" x14ac:dyDescent="0.35">
      <c r="A11" s="5"/>
      <c r="B11" s="7"/>
      <c r="C11" s="8"/>
      <c r="D11" s="8"/>
      <c r="E11" s="8"/>
      <c r="F11" s="8"/>
      <c r="G11" s="8"/>
      <c r="H11" s="8"/>
      <c r="I11" s="12">
        <f>SUM(I2:I10)</f>
        <v>73.982200000000006</v>
      </c>
      <c r="J11" s="13">
        <f t="shared" si="1"/>
        <v>10.984573354515895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220" zoomScaleNormal="220" workbookViewId="0">
      <selection activeCell="B14" sqref="B14"/>
    </sheetView>
  </sheetViews>
  <sheetFormatPr defaultColWidth="9" defaultRowHeight="14.25" customHeight="1" x14ac:dyDescent="0.3"/>
  <cols>
    <col min="1" max="1" width="23.61328125" customWidth="1"/>
    <col min="2" max="2" width="57.53515625" customWidth="1"/>
  </cols>
  <sheetData>
    <row r="1" spans="1:2" ht="14.25" customHeight="1" x14ac:dyDescent="0.35">
      <c r="A1" s="1" t="s">
        <v>35</v>
      </c>
      <c r="B1" s="1" t="s">
        <v>36</v>
      </c>
    </row>
    <row r="2" spans="1:2" ht="14.25" customHeight="1" x14ac:dyDescent="0.35">
      <c r="A2" s="1" t="s">
        <v>37</v>
      </c>
      <c r="B2" s="1" t="s">
        <v>38</v>
      </c>
    </row>
    <row r="3" spans="1:2" ht="14.25" customHeight="1" x14ac:dyDescent="0.35">
      <c r="A3" s="1" t="s">
        <v>39</v>
      </c>
      <c r="B3" s="1" t="s">
        <v>40</v>
      </c>
    </row>
    <row r="4" spans="1:2" ht="14.25" customHeight="1" x14ac:dyDescent="0.35">
      <c r="A4" s="1" t="s">
        <v>41</v>
      </c>
      <c r="B4" s="1" t="s">
        <v>42</v>
      </c>
    </row>
    <row r="5" spans="1:2" ht="14.25" customHeight="1" x14ac:dyDescent="0.35">
      <c r="A5" s="1" t="s">
        <v>43</v>
      </c>
      <c r="B5" s="1" t="s">
        <v>44</v>
      </c>
    </row>
    <row r="6" spans="1:2" ht="14.25" customHeight="1" x14ac:dyDescent="0.35">
      <c r="A6" s="1" t="s">
        <v>45</v>
      </c>
      <c r="B6" s="1">
        <v>5</v>
      </c>
    </row>
    <row r="7" spans="1:2" ht="14.25" customHeight="1" x14ac:dyDescent="0.35">
      <c r="A7" s="1" t="s">
        <v>46</v>
      </c>
      <c r="B7" s="1" t="s">
        <v>47</v>
      </c>
    </row>
    <row r="8" spans="1:2" ht="14.25" customHeight="1" x14ac:dyDescent="0.35">
      <c r="A8" s="1" t="s">
        <v>48</v>
      </c>
      <c r="B8" s="1" t="s">
        <v>49</v>
      </c>
    </row>
    <row r="9" spans="1:2" ht="14.25" customHeight="1" x14ac:dyDescent="0.35">
      <c r="A9" s="1" t="s">
        <v>50</v>
      </c>
      <c r="B9" s="1" t="s">
        <v>51</v>
      </c>
    </row>
    <row r="10" spans="1:2" ht="14.25" customHeight="1" x14ac:dyDescent="0.35">
      <c r="A10" s="1" t="s">
        <v>52</v>
      </c>
      <c r="B10" s="1" t="s">
        <v>53</v>
      </c>
    </row>
    <row r="11" spans="1:2" ht="14.25" customHeight="1" x14ac:dyDescent="0.35">
      <c r="A11" s="1" t="s">
        <v>54</v>
      </c>
      <c r="B11" s="1" t="s">
        <v>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u y</cp:lastModifiedBy>
  <dcterms:created xsi:type="dcterms:W3CDTF">2024-08-02T02:42:00Z</dcterms:created>
  <dcterms:modified xsi:type="dcterms:W3CDTF">2026-10-04T18:50:38Z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68E845AD801D4D9499AA0AC9E87901FB_12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